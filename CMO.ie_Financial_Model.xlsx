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Costs" sheetId="1" state="visible" r:id="rId3"/>
    <sheet name="Revenue Model" sheetId="2" state="visible" r:id="rId4"/>
    <sheet name="Plan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<sst xmlns="http://schemas.openxmlformats.org/spreadsheetml/2006/main" count="159" uniqueCount="137">
  <si>
    <t xml:space="preserve">CMO.ie — API Cost Model</t>
  </si>
  <si>
    <t xml:space="preserve">What does each scan actually cost us?</t>
  </si>
  <si>
    <t xml:space="preserve">MODEL TOKEN PRICING</t>
  </si>
  <si>
    <t xml:space="preserve">Model / Provider</t>
  </si>
  <si>
    <t xml:space="preserve">Input (per 1M tokens)</t>
  </si>
  <si>
    <t xml:space="preserve">Output (per 1M tokens)</t>
  </si>
  <si>
    <t xml:space="preserve">Avg tokens/call</t>
  </si>
  <si>
    <t xml:space="preserve">Source</t>
  </si>
  <si>
    <t xml:space="preserve">Claude Haiku 4.5 (Anthropic)</t>
  </si>
  <si>
    <t xml:space="preserve">anthropic.com/pricing, Apr 2026 — Haiku</t>
  </si>
  <si>
    <t xml:space="preserve">GPT-4o (OpenAI)</t>
  </si>
  <si>
    <t xml:space="preserve">openai.com/pricing, Apr 2026</t>
  </si>
  <si>
    <t xml:space="preserve">Gemini 2.0 Flash (Google)</t>
  </si>
  <si>
    <t xml:space="preserve">ai.google.dev/pricing, Apr 2026</t>
  </si>
  <si>
    <t xml:space="preserve">Perplexity Sonar Pro</t>
  </si>
  <si>
    <t xml:space="preserve">docs.perplexity.ai/pricing, Apr 2026</t>
  </si>
  <si>
    <t xml:space="preserve">Claude Haiku (analysis step)</t>
  </si>
  <si>
    <t xml:space="preserve">Same key — brand detection + JSON extraction</t>
  </si>
  <si>
    <t xml:space="preserve">COST PER PROMPT × MODEL CHECK</t>
  </si>
  <si>
    <t xml:space="preserve">Step</t>
  </si>
  <si>
    <t xml:space="preserve">Tokens (est)</t>
  </si>
  <si>
    <t xml:space="preserve">Cost per call</t>
  </si>
  <si>
    <t xml:space="preserve">Notes</t>
  </si>
  <si>
    <t xml:space="preserve">1. Query model (simulate response)</t>
  </si>
  <si>
    <t xml:space="preserve">~1,200 tokens out</t>
  </si>
  <si>
    <t xml:space="preserve">~200 input + ~1000 output tokens (Claude simulating)</t>
  </si>
  <si>
    <t xml:space="preserve">2. Analyse response (brand detection)</t>
  </si>
  <si>
    <t xml:space="preserve">~800 tokens total</t>
  </si>
  <si>
    <t xml:space="preserve">~600 input + ~200 output tokens (analysis)</t>
  </si>
  <si>
    <t xml:space="preserve">TOTAL per prompt × model check</t>
  </si>
  <si>
    <t xml:space="preserve">COST PER DAILY SCAN BY PLAN</t>
  </si>
  <si>
    <t xml:space="preserve">Plan</t>
  </si>
  <si>
    <t xml:space="preserve">Prompts</t>
  </si>
  <si>
    <t xml:space="preserve">Models</t>
  </si>
  <si>
    <t xml:space="preserve">Checks per scan</t>
  </si>
  <si>
    <t xml:space="preserve">Cost per scan</t>
  </si>
  <si>
    <t xml:space="preserve">Trial (Free — 10 checks total)</t>
  </si>
  <si>
    <t xml:space="preserve">Starter (€29/mo)</t>
  </si>
  <si>
    <t xml:space="preserve">Pro (€79/mo)</t>
  </si>
  <si>
    <t xml:space="preserve">Advanced (€199/mo)</t>
  </si>
  <si>
    <t xml:space="preserve">MONTHLY COST (30 daily scans)</t>
  </si>
  <si>
    <t xml:space="preserve">Daily cost</t>
  </si>
  <si>
    <t xml:space="preserve">Monthly cost (30d)</t>
  </si>
  <si>
    <t xml:space="preserve">Monthly revenue</t>
  </si>
  <si>
    <t xml:space="preserve">Gross margin</t>
  </si>
  <si>
    <t xml:space="preserve">Trial</t>
  </si>
  <si>
    <t xml:space="preserve">N/A — trial</t>
  </si>
  <si>
    <t xml:space="preserve">CMO.ie — 12 Month Revenue Projection</t>
  </si>
  <si>
    <t xml:space="preserve">Flat monthly subscription model — all API costs included</t>
  </si>
  <si>
    <t xml:space="preserve">ASSUMPTIONS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</si>
  <si>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</si>
  <si>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</si>
  <si>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</si>
  <si>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</si>
  <si>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</si>
  <si>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</si>
  <si>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</si>
  <si>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</si>
  <si>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</si>
  <si>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</si>
  <si>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</si>
  <si>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</si>
  <si>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New trial signups / month</t>
  </si>
  <si>
    <t xml:space="preserve">Trial → Starter conversion %</t>
  </si>
  <si>
    <t xml:space="preserve">Starter → Pro upgrade % (monthly)</t>
  </si>
  <si>
    <t xml:space="preserve">Pro → Advanced upgrade % (monthly)</t>
  </si>
  <si>
    <t xml:space="preserve">Monthly churn % (all paid)</t>
  </si>
  <si>
    <t xml:space="preserve">ACTIVE CUSTOMERS</t>
  </si>
  <si>
    <t xml:space="preserve">Trial users (active)</t>
  </si>
  <si>
    <t xml:space="preserve">Starter customers</t>
  </si>
  <si>
    <t xml:space="preserve">Pro customers</t>
  </si>
  <si>
    <t xml:space="preserve">Advanced customers</t>
  </si>
  <si>
    <t xml:space="preserve">Total paying customers</t>
  </si>
  <si>
    <t xml:space="preserve">MONTHLY REVENUE</t>
  </si>
  <si>
    <t xml:space="preserve">Starter revenue (€29/mo)</t>
  </si>
  <si>
    <t xml:space="preserve">Pro revenue (€79/mo)</t>
  </si>
  <si>
    <t xml:space="preserve">Advanced revenue (€199/mo)</t>
  </si>
  <si>
    <t xml:space="preserve">TOTAL REVENUE</t>
  </si>
  <si>
    <t xml:space="preserve">MONTHLY API COSTS</t>
  </si>
  <si>
    <t xml:space="preserve">Trial API cost (10 checks total/user)</t>
  </si>
  <si>
    <t xml:space="preserve">Starter API cost</t>
  </si>
  <si>
    <t xml:space="preserve">Pro API cost</t>
  </si>
  <si>
    <t xml:space="preserve">Advanced API cost</t>
  </si>
  <si>
    <t xml:space="preserve">TOTAL API COST</t>
  </si>
  <si>
    <t xml:space="preserve">P&amp;L SUMMARY</t>
  </si>
  <si>
    <t xml:space="preserve">Total Revenue</t>
  </si>
  <si>
    <t xml:space="preserve">Total API Cost</t>
  </si>
  <si>
    <t xml:space="preserve">GROSS PROFIT</t>
  </si>
  <si>
    <t xml:space="preserve">Gross Margin %</t>
  </si>
  <si>
    <t xml:space="preserve">CUMULATIVE</t>
  </si>
  <si>
    <t xml:space="preserve">CMO.ie — Plan Comparison &amp; Pricing Rationale</t>
  </si>
  <si>
    <t xml:space="preserve">Feature</t>
  </si>
  <si>
    <t xml:space="preserve">Trial (Free)</t>
  </si>
  <si>
    <t xml:space="preserve">Starter (€29)</t>
  </si>
  <si>
    <t xml:space="preserve">Pro (€79)</t>
  </si>
  <si>
    <t xml:space="preserve">Advanced (€199)</t>
  </si>
  <si>
    <t xml:space="preserve">Monthly price</t>
  </si>
  <si>
    <t xml:space="preserve">€0</t>
  </si>
  <si>
    <t xml:space="preserve">€29</t>
  </si>
  <si>
    <t xml:space="preserve">€79</t>
  </si>
  <si>
    <t xml:space="preserve">€199</t>
  </si>
  <si>
    <t xml:space="preserve">Projects</t>
  </si>
  <si>
    <t xml:space="preserve">1</t>
  </si>
  <si>
    <t xml:space="preserve">3</t>
  </si>
  <si>
    <t xml:space="preserve">Unlimited</t>
  </si>
  <si>
    <t xml:space="preserve">Prompts per project</t>
  </si>
  <si>
    <t xml:space="preserve">25</t>
  </si>
  <si>
    <t xml:space="preserve">50</t>
  </si>
  <si>
    <t xml:space="preserve">100</t>
  </si>
  <si>
    <t xml:space="preserve">AI Models</t>
  </si>
  <si>
    <t xml:space="preserve">5</t>
  </si>
  <si>
    <t xml:space="preserve">Daily scans</t>
  </si>
  <si>
    <t xml:space="preserve">10 checks total</t>
  </si>
  <si>
    <t xml:space="preserve">Daily</t>
  </si>
  <si>
    <t xml:space="preserve">75</t>
  </si>
  <si>
    <t xml:space="preserve">250</t>
  </si>
  <si>
    <t xml:space="preserve">500</t>
  </si>
  <si>
    <t xml:space="preserve">Action plan tier</t>
  </si>
  <si>
    <t xml:space="preserve">Gap analysis</t>
  </si>
  <si>
    <t xml:space="preserve">Strategy + actions</t>
  </si>
  <si>
    <t xml:space="preserve">Full + briefs</t>
  </si>
  <si>
    <t xml:space="preserve">Brief credits / month</t>
  </si>
  <si>
    <t xml:space="preserve">0</t>
  </si>
  <si>
    <t xml:space="preserve">20</t>
  </si>
  <si>
    <t xml:space="preserve">Team members</t>
  </si>
  <si>
    <t xml:space="preserve">API cost per scan</t>
  </si>
  <si>
    <t xml:space="preserve">Monthly API cost (or total for trial)</t>
  </si>
  <si>
    <t xml:space="preserve">Gross profit per customer</t>
  </si>
  <si>
    <t xml:space="preserve">N/A</t>
  </si>
  <si>
    <t xml:space="preserve">KEY INSIGHT</t>
  </si>
  <si>
    <t xml:space="preserve">With Haiku, all API costs run through Anthropic at ~€0.005/check (vs €0.02 with Sonnet).</t>
  </si>
  <si>
    <t xml:space="preserve">This makes every paid plan profitable. Trial costs ~€0.05 per user (10 checks × €0.005).</t>
  </si>
  <si>
    <t xml:space="preserve">COST REDUCTION STRATEGIES:</t>
  </si>
  <si>
    <t xml:space="preserve">1. Use Claude Haiku for the simulation step (10x cheaper, ~€0.002/check)</t>
  </si>
  <si>
    <t xml:space="preserve">2. Cache common prompt responses (same prompt rarely changes day-to-day)</t>
  </si>
  <si>
    <t xml:space="preserve">3. Use batch API for non-urgent daily scans (50% discount)</t>
  </si>
  <si>
    <t xml:space="preserve">4. Eventually integrate direct model APIs (OpenAI, Google) for more authentic results AND lower costs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</si>
</sst>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.00;&quot;(€&quot;#,##0.00\);\-"/>
    <numFmt numFmtId="166" formatCode="#,##0"/>
    <numFmt numFmtId="167" formatCode="\€#,##0.00000"/>
    <numFmt numFmtId="168" formatCode="\€#,##0;&quot;(€&quot;#,##0\);\-"/>
    <numFmt numFmtId="169" formatCode="0.0%"/>
    <numFmt numFmtId="170" formatCode="\€#,##0"/>
    <numFmt numFmtId="171" formatCode="\€#,##0.00"/>
    <numFmt numFmtId="172" formatCode="\€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99999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99999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3D"/>
        <bgColor rgb="FF003366"/>
      </patternFill>
    </fill>
    <fill>
      <patternFill patternType="solid">
        <fgColor rgb="FFE8F5E9"/>
        <bgColor rgb="FFFFEBEE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66666"/>
      <rgbColor rgb="FF999999"/>
      <rgbColor rgb="FF003366"/>
      <rgbColor rgb="FF10B981"/>
      <rgbColor rgb="FF003300"/>
      <rgbColor rgb="FF333300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3D"/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26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v>0.8</v>
      </c>
      <c r="C6" s="7" t="n">
        <v>4</v>
      </c>
      <c r="D6" s="8" t="n">
        <v>1200</v>
      </c>
      <c r="E6" s="9" t="s">
        <v>9</v>
      </c>
    </row>
    <row r="7" customFormat="false" ht="15" hidden="false" customHeight="true" outlineLevel="0" collapsed="false">
      <c r="A7" s="6" t="s">
        <v>10</v>
      </c>
      <c r="B7" s="7" t="n">
        <v>2.5</v>
      </c>
      <c r="C7" s="7" t="n">
        <v>10</v>
      </c>
      <c r="D7" s="8" t="n">
        <v>1100</v>
      </c>
      <c r="E7" s="9" t="s">
        <v>11</v>
      </c>
    </row>
    <row r="8" customFormat="false" ht="15" hidden="false" customHeight="true" outlineLevel="0" collapsed="false">
      <c r="A8" s="6" t="s">
        <v>12</v>
      </c>
      <c r="B8" s="7" t="n">
        <v>0.1</v>
      </c>
      <c r="C8" s="7" t="n">
        <v>0.4</v>
      </c>
      <c r="D8" s="8" t="n">
        <v>1000</v>
      </c>
      <c r="E8" s="9" t="s">
        <v>13</v>
      </c>
    </row>
    <row r="9" customFormat="false" ht="15" hidden="false" customHeight="true" outlineLevel="0" collapsed="false">
      <c r="A9" s="6" t="s">
        <v>14</v>
      </c>
      <c r="B9" s="7" t="n">
        <v>3</v>
      </c>
      <c r="C9" s="7" t="n">
        <v>15</v>
      </c>
      <c r="D9" s="8" t="n">
        <v>1200</v>
      </c>
      <c r="E9" s="9" t="s">
        <v>15</v>
      </c>
    </row>
    <row r="10" customFormat="false" ht="15" hidden="false" customHeight="true" outlineLevel="0" collapsed="false">
      <c r="A10" s="6" t="s">
        <v>16</v>
      </c>
      <c r="B10" s="7" t="n">
        <v>0.8</v>
      </c>
      <c r="C10" s="7" t="n">
        <v>4</v>
      </c>
      <c r="D10" s="8" t="n">
        <v>800</v>
      </c>
      <c r="E10" s="9" t="s">
        <v>17</v>
      </c>
    </row>
    <row r="12" customFormat="false" ht="15" hidden="false" customHeight="true" outlineLevel="0" collapsed="false">
      <c r="A12" s="4" t="s">
        <v>18</v>
      </c>
    </row>
    <row r="13" customFormat="false" ht="15" hidden="false" customHeight="true" outlineLevel="0" collapsed="false">
      <c r="A13" s="5" t="s">
        <v>19</v>
      </c>
      <c r="B13" s="5" t="s">
        <v>20</v>
      </c>
      <c r="C13" s="5" t="s">
        <v>21</v>
      </c>
      <c r="D13" s="5" t="s">
        <v>22</v>
      </c>
    </row>
    <row r="14" customFormat="false" ht="15" hidden="false" customHeight="true" outlineLevel="0" collapsed="false">
      <c r="A14" s="6" t="s">
        <v>23</v>
      </c>
      <c r="B14" s="6" t="s">
        <v>24</v>
      </c>
      <c r="C14" s="10" t="n">
        <f aca="false">ROUND((200*B6/1000000)+(1000*C6/1000000),5)</f>
        <v>0.00416</v>
      </c>
      <c r="D14" s="11" t="s">
        <v>25</v>
      </c>
    </row>
    <row r="15" customFormat="false" ht="15" hidden="false" customHeight="true" outlineLevel="0" collapsed="false">
      <c r="A15" s="6" t="s">
        <v>26</v>
      </c>
      <c r="B15" s="6" t="s">
        <v>27</v>
      </c>
      <c r="C15" s="12" t="n">
        <f aca="false">ROUND((600*B10/1000000)+(200*C10/1000000),5)</f>
        <v>0.00128</v>
      </c>
      <c r="D15" s="11" t="s">
        <v>28</v>
      </c>
    </row>
    <row r="16" customFormat="false" ht="15" hidden="false" customHeight="true" outlineLevel="0" collapsed="false">
      <c r="A16" s="13" t="s">
        <v>29</v>
      </c>
      <c r="C16" s="14" t="n">
        <f aca="false">C14+C15</f>
        <v>0.00544</v>
      </c>
    </row>
    <row r="18" customFormat="false" ht="15" hidden="false" customHeight="true" outlineLevel="0" collapsed="false">
      <c r="A18" s="4" t="s">
        <v>30</v>
      </c>
    </row>
    <row r="19" customFormat="false" ht="15" hidden="false" customHeight="true" outlineLevel="0" collapsed="false">
      <c r="A19" s="5" t="s">
        <v>31</v>
      </c>
      <c r="B19" s="5" t="s">
        <v>32</v>
      </c>
      <c r="C19" s="5" t="s">
        <v>33</v>
      </c>
      <c r="D19" s="5" t="s">
        <v>34</v>
      </c>
      <c r="E19" s="5" t="s">
        <v>35</v>
      </c>
    </row>
    <row r="20" customFormat="false" ht="15" hidden="false" customHeight="true" outlineLevel="0" collapsed="false">
      <c r="A20" s="6" t="s">
        <v>36</v>
      </c>
      <c r="B20" s="8" t="n">
        <v>1</v>
      </c>
      <c r="C20" s="8" t="n">
        <v>3</v>
      </c>
      <c r="D20" s="15" t="n">
        <f aca="false">B20*C20</f>
        <v>3</v>
      </c>
      <c r="E20" s="16" t="n">
        <f aca="false">D20*$C$16</f>
        <v>0.01632</v>
      </c>
    </row>
    <row r="21" customFormat="false" ht="15" hidden="false" customHeight="true" outlineLevel="0" collapsed="false">
      <c r="A21" s="6" t="s">
        <v>37</v>
      </c>
      <c r="B21" s="8" t="n">
        <v>25</v>
      </c>
      <c r="C21" s="8" t="n">
        <v>3</v>
      </c>
      <c r="D21" s="15" t="n">
        <f aca="false">B21*C21</f>
        <v>75</v>
      </c>
      <c r="E21" s="16" t="n">
        <f aca="false">D21*$C$16</f>
        <v>0.408</v>
      </c>
    </row>
    <row r="22" customFormat="false" ht="15" hidden="false" customHeight="true" outlineLevel="0" collapsed="false">
      <c r="A22" s="6" t="s">
        <v>38</v>
      </c>
      <c r="B22" s="8" t="n">
        <v>50</v>
      </c>
      <c r="C22" s="8" t="n">
        <v>5</v>
      </c>
      <c r="D22" s="15" t="n">
        <f aca="false">B22*C22</f>
        <v>250</v>
      </c>
      <c r="E22" s="16" t="n">
        <f aca="false">D22*$C$16</f>
        <v>1.36</v>
      </c>
    </row>
    <row r="23" customFormat="false" ht="15" hidden="false" customHeight="true" outlineLevel="0" collapsed="false">
      <c r="A23" s="6" t="s">
        <v>39</v>
      </c>
      <c r="B23" s="8" t="n">
        <v>100</v>
      </c>
      <c r="C23" s="8" t="n">
        <v>5</v>
      </c>
      <c r="D23" s="15" t="n">
        <f aca="false">B23*C23</f>
        <v>500</v>
      </c>
      <c r="E23" s="16" t="n">
        <f aca="false">D23*$C$16</f>
        <v>2.72</v>
      </c>
    </row>
    <row r="25" customFormat="false" ht="15" hidden="false" customHeight="true" outlineLevel="0" collapsed="false">
      <c r="A25" s="4" t="s">
        <v>40</v>
      </c>
    </row>
    <row r="26" customFormat="false" ht="26.25" hidden="false" customHeight="true" outlineLevel="0" collapsed="false">
      <c r="A26" s="5" t="s">
        <v>31</v>
      </c>
      <c r="B26" s="5" t="s">
        <v>41</v>
      </c>
      <c r="C26" s="5" t="s">
        <v>42</v>
      </c>
      <c r="D26" s="5" t="s">
        <v>43</v>
      </c>
      <c r="E26" s="5" t="s">
        <v>44</v>
      </c>
    </row>
    <row r="27" customFormat="false" ht="15" hidden="false" customHeight="true" outlineLevel="0" collapsed="false">
      <c r="A27" s="6" t="s">
        <v>45</v>
      </c>
      <c r="B27" s="16" t="n">
        <f aca="false">E20</f>
        <v>0.01632</v>
      </c>
      <c r="C27" s="16" t="n">
        <f aca="false">B27*30</f>
        <v>0.4896</v>
      </c>
      <c r="D27" s="17" t="n">
        <v>0</v>
      </c>
      <c r="E27" s="18" t="s">
        <v>46</v>
      </c>
    </row>
    <row r="28" customFormat="false" ht="15" hidden="false" customHeight="true" outlineLevel="0" collapsed="false">
      <c r="A28" s="6" t="s">
        <v>37</v>
      </c>
      <c r="B28" s="16" t="n">
        <f aca="false">E21</f>
        <v>0.408</v>
      </c>
      <c r="C28" s="16" t="n">
        <f aca="false">B28*30</f>
        <v>12.24</v>
      </c>
      <c r="D28" s="17" t="n">
        <v>29</v>
      </c>
      <c r="E28" s="19" t="n">
        <f aca="false">(D28-C28)/D28</f>
        <v>0.577931034482759</v>
      </c>
    </row>
    <row r="29" customFormat="false" ht="15" hidden="false" customHeight="true" outlineLevel="0" collapsed="false">
      <c r="A29" s="6" t="s">
        <v>38</v>
      </c>
      <c r="B29" s="16" t="n">
        <f aca="false">E22</f>
        <v>1.36</v>
      </c>
      <c r="C29" s="16" t="n">
        <f aca="false">B29*30</f>
        <v>40.8</v>
      </c>
      <c r="D29" s="17" t="n">
        <v>79</v>
      </c>
      <c r="E29" s="19" t="n">
        <f aca="false">(D29-C29)/D29</f>
        <v>0.483544303797468</v>
      </c>
    </row>
    <row r="30" customFormat="false" ht="15" hidden="false" customHeight="true" outlineLevel="0" collapsed="false">
      <c r="A30" s="6" t="s">
        <v>39</v>
      </c>
      <c r="B30" s="16" t="n">
        <f aca="false">E23</f>
        <v>2.72</v>
      </c>
      <c r="C30" s="16" t="n">
        <f aca="false">B30*30</f>
        <v>81.6</v>
      </c>
      <c r="D30" s="17" t="n">
        <v>199</v>
      </c>
      <c r="E30" s="19" t="n">
        <f aca="false">(D30-C30)/D30</f>
        <v>0.589949748743719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2" t="s">
        <v>47</v>
      </c>
    </row>
    <row r="2" customFormat="false" ht="15" hidden="false" customHeight="true" outlineLevel="0" collapsed="false">
      <c r="A2" s="3" t="s">
        <v>48</v>
      </c>
    </row>
    <row r="4" customFormat="false" ht="15" hidden="false" customHeight="true" outlineLevel="0" collapsed="false">
      <c r="A4" s="20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1" t="s">
        <v>56</v>
      </c>
      <c r="I4" s="21" t="s">
        <v>57</v>
      </c>
      <c r="J4" s="21" t="s">
        <v>58</v>
      </c>
      <c r="K4" s="21" t="s">
        <v>59</v>
      </c>
      <c r="L4" s="21" t="s">
        <v>60</v>
      </c>
      <c r="M4" s="21" t="s">
        <v>61</v>
      </c>
    </row>
    <row r="5" customFormat="false" ht="15" hidden="false" customHeight="true" outlineLevel="0" collapsed="false">
      <c r="A5" s="6" t="s">
        <v>62</v>
      </c>
      <c r="B5" s="8" t="n">
        <v>20</v>
      </c>
      <c r="C5" s="15" t="n">
        <f aca="false">ROUND(B5*1.15,0)</f>
        <v>23</v>
      </c>
      <c r="D5" s="15" t="n">
        <f aca="false">ROUND(C5*1.15,0)</f>
        <v>26</v>
      </c>
      <c r="E5" s="15" t="n">
        <f aca="false">ROUND(D5*1.15,0)</f>
        <v>30</v>
      </c>
      <c r="F5" s="15" t="n">
        <f aca="false">ROUND(E5*1.15,0)</f>
        <v>35</v>
      </c>
      <c r="G5" s="15" t="n">
        <f aca="false">ROUND(F5*1.15,0)</f>
        <v>40</v>
      </c>
      <c r="H5" s="15" t="n">
        <f aca="false">ROUND(G5*1.15,0)</f>
        <v>46</v>
      </c>
      <c r="I5" s="15" t="n">
        <f aca="false">ROUND(H5*1.15,0)</f>
        <v>53</v>
      </c>
      <c r="J5" s="15" t="n">
        <f aca="false">ROUND(I5*1.15,0)</f>
        <v>61</v>
      </c>
      <c r="K5" s="15" t="n">
        <f aca="false">ROUND(J5*1.15,0)</f>
        <v>70</v>
      </c>
      <c r="L5" s="15" t="n">
        <f aca="false">ROUND(K5*1.15,0)</f>
        <v>81</v>
      </c>
      <c r="M5" s="15" t="n">
        <f aca="false">ROUND(L5*1.15,0)</f>
        <v>93</v>
      </c>
    </row>
    <row r="6" customFormat="false" ht="15" hidden="false" customHeight="true" outlineLevel="0" collapsed="false">
      <c r="A6" s="6" t="s">
        <v>63</v>
      </c>
      <c r="B6" s="22" t="n">
        <v>0.12</v>
      </c>
      <c r="C6" s="22" t="n">
        <v>0.12</v>
      </c>
      <c r="D6" s="22" t="n">
        <v>0.12</v>
      </c>
      <c r="E6" s="22" t="n">
        <v>0.12</v>
      </c>
      <c r="F6" s="22" t="n">
        <v>0.12</v>
      </c>
      <c r="G6" s="22" t="n">
        <v>0.12</v>
      </c>
      <c r="H6" s="22" t="n">
        <v>0.12</v>
      </c>
      <c r="I6" s="22" t="n">
        <v>0.12</v>
      </c>
      <c r="J6" s="22" t="n">
        <v>0.12</v>
      </c>
      <c r="K6" s="22" t="n">
        <v>0.12</v>
      </c>
      <c r="L6" s="22" t="n">
        <v>0.12</v>
      </c>
      <c r="M6" s="22" t="n">
        <v>0.12</v>
      </c>
    </row>
    <row r="7" customFormat="false" ht="15" hidden="false" customHeight="true" outlineLevel="0" collapsed="false">
      <c r="A7" s="6" t="s">
        <v>64</v>
      </c>
      <c r="B7" s="22" t="n">
        <v>0.08</v>
      </c>
      <c r="C7" s="22" t="n">
        <v>0.08</v>
      </c>
      <c r="D7" s="22" t="n">
        <v>0.08</v>
      </c>
      <c r="E7" s="22" t="n">
        <v>0.08</v>
      </c>
      <c r="F7" s="22" t="n">
        <v>0.08</v>
      </c>
      <c r="G7" s="22" t="n">
        <v>0.08</v>
      </c>
      <c r="H7" s="22" t="n">
        <v>0.08</v>
      </c>
      <c r="I7" s="22" t="n">
        <v>0.08</v>
      </c>
      <c r="J7" s="22" t="n">
        <v>0.08</v>
      </c>
      <c r="K7" s="22" t="n">
        <v>0.08</v>
      </c>
      <c r="L7" s="22" t="n">
        <v>0.08</v>
      </c>
      <c r="M7" s="22" t="n">
        <v>0.08</v>
      </c>
    </row>
    <row r="8" customFormat="false" ht="15" hidden="false" customHeight="true" outlineLevel="0" collapsed="false">
      <c r="A8" s="6" t="s">
        <v>65</v>
      </c>
      <c r="B8" s="22" t="n">
        <v>0.03</v>
      </c>
      <c r="C8" s="22" t="n">
        <v>0.03</v>
      </c>
      <c r="D8" s="22" t="n">
        <v>0.03</v>
      </c>
      <c r="E8" s="22" t="n">
        <v>0.03</v>
      </c>
      <c r="F8" s="22" t="n">
        <v>0.03</v>
      </c>
      <c r="G8" s="22" t="n">
        <v>0.03</v>
      </c>
      <c r="H8" s="22" t="n">
        <v>0.03</v>
      </c>
      <c r="I8" s="22" t="n">
        <v>0.03</v>
      </c>
      <c r="J8" s="22" t="n">
        <v>0.03</v>
      </c>
      <c r="K8" s="22" t="n">
        <v>0.03</v>
      </c>
      <c r="L8" s="22" t="n">
        <v>0.03</v>
      </c>
      <c r="M8" s="22" t="n">
        <v>0.03</v>
      </c>
    </row>
    <row r="9" customFormat="false" ht="15" hidden="false" customHeight="true" outlineLevel="0" collapsed="false">
      <c r="A9" s="6" t="s">
        <v>66</v>
      </c>
      <c r="B9" s="22" t="n">
        <v>0.05</v>
      </c>
      <c r="C9" s="22" t="n">
        <v>0.05</v>
      </c>
      <c r="D9" s="22" t="n">
        <v>0.05</v>
      </c>
      <c r="E9" s="22" t="n">
        <v>0.05</v>
      </c>
      <c r="F9" s="22" t="n">
        <v>0.05</v>
      </c>
      <c r="G9" s="22" t="n">
        <v>0.05</v>
      </c>
      <c r="H9" s="22" t="n">
        <v>0.05</v>
      </c>
      <c r="I9" s="22" t="n">
        <v>0.05</v>
      </c>
      <c r="J9" s="22" t="n">
        <v>0.05</v>
      </c>
      <c r="K9" s="22" t="n">
        <v>0.05</v>
      </c>
      <c r="L9" s="22" t="n">
        <v>0.05</v>
      </c>
      <c r="M9" s="22" t="n">
        <v>0.05</v>
      </c>
    </row>
    <row r="11" customFormat="false" ht="15" hidden="false" customHeight="true" outlineLevel="0" collapsed="false">
      <c r="A11" s="5" t="s">
        <v>67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true" outlineLevel="0" collapsed="false">
      <c r="A12" s="6" t="s">
        <v>68</v>
      </c>
      <c r="B12" s="15" t="n">
        <f aca="false">B5</f>
        <v>20</v>
      </c>
      <c r="C12" s="15" t="n">
        <f aca="false">ROUND(C5 + B12*0.5*(1-C6), 0)</f>
        <v>32</v>
      </c>
      <c r="D12" s="15" t="n">
        <f aca="false">ROUND(D5 + C12*0.5*(1-D6), 0)</f>
        <v>40</v>
      </c>
      <c r="E12" s="15" t="n">
        <f aca="false">ROUND(E5 + D12*0.5*(1-E6), 0)</f>
        <v>48</v>
      </c>
      <c r="F12" s="15" t="n">
        <f aca="false">ROUND(F5 + E12*0.5*(1-F6), 0)</f>
        <v>56</v>
      </c>
      <c r="G12" s="15" t="n">
        <f aca="false">ROUND(G5 + F12*0.5*(1-G6), 0)</f>
        <v>65</v>
      </c>
      <c r="H12" s="15" t="n">
        <f aca="false">ROUND(H5 + G12*0.5*(1-H6), 0)</f>
        <v>75</v>
      </c>
      <c r="I12" s="15" t="n">
        <f aca="false">ROUND(I5 + H12*0.5*(1-I6), 0)</f>
        <v>86</v>
      </c>
      <c r="J12" s="15" t="n">
        <f aca="false">ROUND(J5 + I12*0.5*(1-J6), 0)</f>
        <v>99</v>
      </c>
      <c r="K12" s="15" t="n">
        <f aca="false">ROUND(K5 + J12*0.5*(1-K6), 0)</f>
        <v>114</v>
      </c>
      <c r="L12" s="15" t="n">
        <f aca="false">ROUND(L5 + K12*0.5*(1-L6), 0)</f>
        <v>131</v>
      </c>
      <c r="M12" s="15" t="n">
        <f aca="false">ROUND(M5 + L12*0.5*(1-M6), 0)</f>
        <v>151</v>
      </c>
    </row>
    <row r="13" customFormat="false" ht="15" hidden="false" customHeight="true" outlineLevel="0" collapsed="false">
      <c r="A13" s="6" t="s">
        <v>69</v>
      </c>
      <c r="B13" s="15" t="n">
        <f aca="false">ROUND(B12*B6, 0)</f>
        <v>2</v>
      </c>
      <c r="C13" s="15" t="n">
        <f aca="false">MAX(0, ROUND(B13*(1-C9-C7) + C12*C6, 0))</f>
        <v>6</v>
      </c>
      <c r="D13" s="15" t="n">
        <f aca="false">MAX(0, ROUND(C13*(1-D9-D7) + D12*D6, 0))</f>
        <v>10</v>
      </c>
      <c r="E13" s="15" t="n">
        <f aca="false">MAX(0, ROUND(D13*(1-E9-E7) + E12*E6, 0))</f>
        <v>14</v>
      </c>
      <c r="F13" s="15" t="n">
        <f aca="false">MAX(0, ROUND(E13*(1-F9-F7) + F12*F6, 0))</f>
        <v>19</v>
      </c>
      <c r="G13" s="15" t="n">
        <f aca="false">MAX(0, ROUND(F13*(1-G9-G7) + G12*G6, 0))</f>
        <v>24</v>
      </c>
      <c r="H13" s="15" t="n">
        <f aca="false">MAX(0, ROUND(G13*(1-H9-H7) + H12*H6, 0))</f>
        <v>30</v>
      </c>
      <c r="I13" s="15" t="n">
        <f aca="false">MAX(0, ROUND(H13*(1-I9-I7) + I12*I6, 0))</f>
        <v>36</v>
      </c>
      <c r="J13" s="15" t="n">
        <f aca="false">MAX(0, ROUND(I13*(1-J9-J7) + J12*J6, 0))</f>
        <v>43</v>
      </c>
      <c r="K13" s="15" t="n">
        <f aca="false">MAX(0, ROUND(J13*(1-K9-K7) + K12*K6, 0))</f>
        <v>51</v>
      </c>
      <c r="L13" s="15" t="n">
        <f aca="false">MAX(0, ROUND(K13*(1-L9-L7) + L12*L6, 0))</f>
        <v>60</v>
      </c>
      <c r="M13" s="15" t="n">
        <f aca="false">MAX(0, ROUND(L13*(1-M9-M7) + M12*M6, 0))</f>
        <v>70</v>
      </c>
    </row>
    <row r="14" customFormat="false" ht="15" hidden="false" customHeight="true" outlineLevel="0" collapsed="false">
      <c r="A14" s="6" t="s">
        <v>70</v>
      </c>
      <c r="B14" s="15" t="n">
        <f aca="false">ROUND(B13*B7, 0)</f>
        <v>0</v>
      </c>
      <c r="C14" s="15" t="n">
        <f aca="false">MAX(0, ROUND(B14*(1-C9-C8) + C13*C7, 0))</f>
        <v>0</v>
      </c>
      <c r="D14" s="15" t="n">
        <f aca="false">MAX(0, ROUND(C14*(1-D9-D8) + D13*D7, 0))</f>
        <v>1</v>
      </c>
      <c r="E14" s="15" t="n">
        <f aca="false">MAX(0, ROUND(D14*(1-E9-E8) + E13*E7, 0))</f>
        <v>2</v>
      </c>
      <c r="F14" s="15" t="n">
        <f aca="false">MAX(0, ROUND(E14*(1-F9-F8) + F13*F7, 0))</f>
        <v>3</v>
      </c>
      <c r="G14" s="15" t="n">
        <f aca="false">MAX(0, ROUND(F14*(1-G9-G8) + G13*G7, 0))</f>
        <v>5</v>
      </c>
      <c r="H14" s="15" t="n">
        <f aca="false">MAX(0, ROUND(G14*(1-H9-H8) + H13*H7, 0))</f>
        <v>7</v>
      </c>
      <c r="I14" s="15" t="n">
        <f aca="false">MAX(0, ROUND(H14*(1-I9-I8) + I13*I7, 0))</f>
        <v>9</v>
      </c>
      <c r="J14" s="15" t="n">
        <f aca="false">MAX(0, ROUND(I14*(1-J9-J8) + J13*J7, 0))</f>
        <v>12</v>
      </c>
      <c r="K14" s="15" t="n">
        <f aca="false">MAX(0, ROUND(J14*(1-K9-K8) + K13*K7, 0))</f>
        <v>15</v>
      </c>
      <c r="L14" s="15" t="n">
        <f aca="false">MAX(0, ROUND(K14*(1-L9-L8) + L13*L7, 0))</f>
        <v>19</v>
      </c>
      <c r="M14" s="15" t="n">
        <f aca="false">MAX(0, ROUND(L14*(1-M9-M8) + M13*M7, 0))</f>
        <v>23</v>
      </c>
    </row>
    <row r="15" customFormat="false" ht="15" hidden="false" customHeight="true" outlineLevel="0" collapsed="false">
      <c r="A15" s="6" t="s">
        <v>71</v>
      </c>
      <c r="B15" s="15" t="n">
        <f aca="false">ROUND(B14*B8, 0)</f>
        <v>0</v>
      </c>
      <c r="C15" s="15" t="n">
        <f aca="false">MAX(0, ROUND(B15*(1-C9) + C14*C8, 0))</f>
        <v>0</v>
      </c>
      <c r="D15" s="15" t="n">
        <f aca="false">MAX(0, ROUND(C15*(1-D9) + D14*D8, 0))</f>
        <v>0</v>
      </c>
      <c r="E15" s="15" t="n">
        <f aca="false">MAX(0, ROUND(D15*(1-E9) + E14*E8, 0))</f>
        <v>0</v>
      </c>
      <c r="F15" s="15" t="n">
        <f aca="false">MAX(0, ROUND(E15*(1-F9) + F14*F8, 0))</f>
        <v>0</v>
      </c>
      <c r="G15" s="15" t="n">
        <f aca="false">MAX(0, ROUND(F15*(1-G9) + G14*G8, 0))</f>
        <v>0</v>
      </c>
      <c r="H15" s="15" t="n">
        <f aca="false">MAX(0, ROUND(G15*(1-H9) + H14*H8, 0))</f>
        <v>0</v>
      </c>
      <c r="I15" s="15" t="n">
        <f aca="false">MAX(0, ROUND(H15*(1-I9) + I14*I8, 0))</f>
        <v>0</v>
      </c>
      <c r="J15" s="15" t="n">
        <f aca="false">MAX(0, ROUND(I15*(1-J9) + J14*J8, 0))</f>
        <v>0</v>
      </c>
      <c r="K15" s="15" t="n">
        <f aca="false">MAX(0, ROUND(J15*(1-K9) + K14*K8, 0))</f>
        <v>0</v>
      </c>
      <c r="L15" s="15" t="n">
        <f aca="false">MAX(0, ROUND(K15*(1-L9) + L14*L8, 0))</f>
        <v>1</v>
      </c>
      <c r="M15" s="15" t="n">
        <f aca="false">MAX(0, ROUND(L15*(1-M9) + M14*M8, 0))</f>
        <v>2</v>
      </c>
    </row>
    <row r="16" customFormat="false" ht="15" hidden="false" customHeight="true" outlineLevel="0" collapsed="false">
      <c r="A16" s="13" t="s">
        <v>72</v>
      </c>
      <c r="B16" s="23" t="n">
        <f aca="false">B13+B14+B15</f>
        <v>2</v>
      </c>
      <c r="C16" s="23" t="n">
        <f aca="false">C13+C14+C15</f>
        <v>6</v>
      </c>
      <c r="D16" s="23" t="n">
        <f aca="false">D13+D14+D15</f>
        <v>11</v>
      </c>
      <c r="E16" s="23" t="n">
        <f aca="false">E13+E14+E15</f>
        <v>16</v>
      </c>
      <c r="F16" s="23" t="n">
        <f aca="false">F13+F14+F15</f>
        <v>22</v>
      </c>
      <c r="G16" s="23" t="n">
        <f aca="false">G13+G14+G15</f>
        <v>29</v>
      </c>
      <c r="H16" s="23" t="n">
        <f aca="false">H13+H14+H15</f>
        <v>37</v>
      </c>
      <c r="I16" s="23" t="n">
        <f aca="false">I13+I14+I15</f>
        <v>45</v>
      </c>
      <c r="J16" s="23" t="n">
        <f aca="false">J13+J14+J15</f>
        <v>55</v>
      </c>
      <c r="K16" s="23" t="n">
        <f aca="false">K13+K14+K15</f>
        <v>66</v>
      </c>
      <c r="L16" s="23" t="n">
        <f aca="false">L13+L14+L15</f>
        <v>80</v>
      </c>
      <c r="M16" s="23" t="n">
        <f aca="false">M13+M14+M15</f>
        <v>95</v>
      </c>
    </row>
    <row r="18" customFormat="false" ht="15" hidden="false" customHeight="true" outlineLevel="0" collapsed="false">
      <c r="A18" s="5" t="s">
        <v>73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true" outlineLevel="0" collapsed="false">
      <c r="A19" s="6" t="s">
        <v>74</v>
      </c>
      <c r="B19" s="24" t="n">
        <f aca="false">B13*29</f>
        <v>58</v>
      </c>
      <c r="C19" s="24" t="n">
        <f aca="false">C13*29</f>
        <v>174</v>
      </c>
      <c r="D19" s="24" t="n">
        <f aca="false">D13*29</f>
        <v>290</v>
      </c>
      <c r="E19" s="24" t="n">
        <f aca="false">E13*29</f>
        <v>406</v>
      </c>
      <c r="F19" s="24" t="n">
        <f aca="false">F13*29</f>
        <v>551</v>
      </c>
      <c r="G19" s="24" t="n">
        <f aca="false">G13*29</f>
        <v>696</v>
      </c>
      <c r="H19" s="24" t="n">
        <f aca="false">H13*29</f>
        <v>870</v>
      </c>
      <c r="I19" s="24" t="n">
        <f aca="false">I13*29</f>
        <v>1044</v>
      </c>
      <c r="J19" s="24" t="n">
        <f aca="false">J13*29</f>
        <v>1247</v>
      </c>
      <c r="K19" s="24" t="n">
        <f aca="false">K13*29</f>
        <v>1479</v>
      </c>
      <c r="L19" s="24" t="n">
        <f aca="false">L13*29</f>
        <v>1740</v>
      </c>
      <c r="M19" s="24" t="n">
        <f aca="false">M13*29</f>
        <v>2030</v>
      </c>
    </row>
    <row r="20" customFormat="false" ht="15" hidden="false" customHeight="true" outlineLevel="0" collapsed="false">
      <c r="A20" s="6" t="s">
        <v>75</v>
      </c>
      <c r="B20" s="24" t="n">
        <f aca="false">B14*79</f>
        <v>0</v>
      </c>
      <c r="C20" s="24" t="n">
        <f aca="false">C14*79</f>
        <v>0</v>
      </c>
      <c r="D20" s="24" t="n">
        <f aca="false">D14*79</f>
        <v>79</v>
      </c>
      <c r="E20" s="24" t="n">
        <f aca="false">E14*79</f>
        <v>158</v>
      </c>
      <c r="F20" s="24" t="n">
        <f aca="false">F14*79</f>
        <v>237</v>
      </c>
      <c r="G20" s="24" t="n">
        <f aca="false">G14*79</f>
        <v>395</v>
      </c>
      <c r="H20" s="24" t="n">
        <f aca="false">H14*79</f>
        <v>553</v>
      </c>
      <c r="I20" s="24" t="n">
        <f aca="false">I14*79</f>
        <v>711</v>
      </c>
      <c r="J20" s="24" t="n">
        <f aca="false">J14*79</f>
        <v>948</v>
      </c>
      <c r="K20" s="24" t="n">
        <f aca="false">K14*79</f>
        <v>1185</v>
      </c>
      <c r="L20" s="24" t="n">
        <f aca="false">L14*79</f>
        <v>1501</v>
      </c>
      <c r="M20" s="24" t="n">
        <f aca="false">M14*79</f>
        <v>1817</v>
      </c>
    </row>
    <row r="21" customFormat="false" ht="15" hidden="false" customHeight="true" outlineLevel="0" collapsed="false">
      <c r="A21" s="6" t="s">
        <v>76</v>
      </c>
      <c r="B21" s="24" t="n">
        <f aca="false">B15*199</f>
        <v>0</v>
      </c>
      <c r="C21" s="24" t="n">
        <f aca="false">C15*199</f>
        <v>0</v>
      </c>
      <c r="D21" s="24" t="n">
        <f aca="false">D15*199</f>
        <v>0</v>
      </c>
      <c r="E21" s="24" t="n">
        <f aca="false">E15*199</f>
        <v>0</v>
      </c>
      <c r="F21" s="24" t="n">
        <f aca="false">F15*199</f>
        <v>0</v>
      </c>
      <c r="G21" s="24" t="n">
        <f aca="false">G15*199</f>
        <v>0</v>
      </c>
      <c r="H21" s="24" t="n">
        <f aca="false">H15*199</f>
        <v>0</v>
      </c>
      <c r="I21" s="24" t="n">
        <f aca="false">I15*199</f>
        <v>0</v>
      </c>
      <c r="J21" s="24" t="n">
        <f aca="false">J15*199</f>
        <v>0</v>
      </c>
      <c r="K21" s="24" t="n">
        <f aca="false">K15*199</f>
        <v>0</v>
      </c>
      <c r="L21" s="24" t="n">
        <f aca="false">L15*199</f>
        <v>199</v>
      </c>
      <c r="M21" s="24" t="n">
        <f aca="false">M15*199</f>
        <v>398</v>
      </c>
    </row>
    <row r="22" customFormat="false" ht="15" hidden="false" customHeight="true" outlineLevel="0" collapsed="false">
      <c r="A22" s="13" t="s">
        <v>77</v>
      </c>
      <c r="B22" s="25" t="n">
        <f aca="false">B19+B20+B21</f>
        <v>58</v>
      </c>
      <c r="C22" s="25" t="n">
        <f aca="false">C19+C20+C21</f>
        <v>174</v>
      </c>
      <c r="D22" s="25" t="n">
        <f aca="false">D19+D20+D21</f>
        <v>369</v>
      </c>
      <c r="E22" s="25" t="n">
        <f aca="false">E19+E20+E21</f>
        <v>564</v>
      </c>
      <c r="F22" s="25" t="n">
        <f aca="false">F19+F20+F21</f>
        <v>788</v>
      </c>
      <c r="G22" s="25" t="n">
        <f aca="false">G19+G20+G21</f>
        <v>1091</v>
      </c>
      <c r="H22" s="25" t="n">
        <f aca="false">H19+H20+H21</f>
        <v>1423</v>
      </c>
      <c r="I22" s="25" t="n">
        <f aca="false">I19+I20+I21</f>
        <v>1755</v>
      </c>
      <c r="J22" s="25" t="n">
        <f aca="false">J19+J20+J21</f>
        <v>2195</v>
      </c>
      <c r="K22" s="25" t="n">
        <f aca="false">K19+K20+K21</f>
        <v>2664</v>
      </c>
      <c r="L22" s="25" t="n">
        <f aca="false">L19+L20+L21</f>
        <v>3440</v>
      </c>
      <c r="M22" s="25" t="n">
        <f aca="false">M19+M20+M21</f>
        <v>4245</v>
      </c>
    </row>
    <row r="24" customFormat="false" ht="15" hidden="false" customHeight="true" outlineLevel="0" collapsed="false">
      <c r="A24" s="5" t="s">
        <v>78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true" outlineLevel="0" collapsed="false">
      <c r="A25" s="6" t="s">
        <v>79</v>
      </c>
      <c r="B25" s="26" t="n">
        <f aca="false">B12 * 10 * 'API Costs'!$C$16</f>
        <v>1.088</v>
      </c>
      <c r="C25" s="26" t="n">
        <f aca="false">C12 * 10 * 'API Costs'!$C$16</f>
        <v>1.7408</v>
      </c>
      <c r="D25" s="26" t="n">
        <f aca="false">D12 * 10 * 'API Costs'!$C$16</f>
        <v>2.176</v>
      </c>
      <c r="E25" s="26" t="n">
        <f aca="false">E12 * 10 * 'API Costs'!$C$16</f>
        <v>2.6112</v>
      </c>
      <c r="F25" s="26" t="n">
        <f aca="false">F12 * 10 * 'API Costs'!$C$16</f>
        <v>3.0464</v>
      </c>
      <c r="G25" s="26" t="n">
        <f aca="false">G12 * 10 * 'API Costs'!$C$16</f>
        <v>3.536</v>
      </c>
      <c r="H25" s="26" t="n">
        <f aca="false">H12 * 10 * 'API Costs'!$C$16</f>
        <v>4.08</v>
      </c>
      <c r="I25" s="26" t="n">
        <f aca="false">I12 * 10 * 'API Costs'!$C$16</f>
        <v>4.6784</v>
      </c>
      <c r="J25" s="26" t="n">
        <f aca="false">J12 * 10 * 'API Costs'!$C$16</f>
        <v>5.3856</v>
      </c>
      <c r="K25" s="26" t="n">
        <f aca="false">K12 * 10 * 'API Costs'!$C$16</f>
        <v>6.2016</v>
      </c>
      <c r="L25" s="26" t="n">
        <f aca="false">L12 * 10 * 'API Costs'!$C$16</f>
        <v>7.1264</v>
      </c>
      <c r="M25" s="26" t="n">
        <f aca="false">M12 * 10 * 'API Costs'!$C$16</f>
        <v>8.2144</v>
      </c>
    </row>
    <row r="26" customFormat="false" ht="15" hidden="false" customHeight="true" outlineLevel="0" collapsed="false">
      <c r="A26" s="6" t="s">
        <v>80</v>
      </c>
      <c r="B26" s="24" t="n">
        <f aca="false">B13 * 75 * 'API Costs'!$C$16 * 30</f>
        <v>24.48</v>
      </c>
      <c r="C26" s="24" t="n">
        <f aca="false">C13 * 75 * 'API Costs'!$C$16 * 30</f>
        <v>73.44</v>
      </c>
      <c r="D26" s="24" t="n">
        <f aca="false">D13 * 75 * 'API Costs'!$C$16 * 30</f>
        <v>122.4</v>
      </c>
      <c r="E26" s="24" t="n">
        <f aca="false">E13 * 75 * 'API Costs'!$C$16 * 30</f>
        <v>171.36</v>
      </c>
      <c r="F26" s="24" t="n">
        <f aca="false">F13 * 75 * 'API Costs'!$C$16 * 30</f>
        <v>232.56</v>
      </c>
      <c r="G26" s="24" t="n">
        <f aca="false">G13 * 75 * 'API Costs'!$C$16 * 30</f>
        <v>293.76</v>
      </c>
      <c r="H26" s="24" t="n">
        <f aca="false">H13 * 75 * 'API Costs'!$C$16 * 30</f>
        <v>367.2</v>
      </c>
      <c r="I26" s="24" t="n">
        <f aca="false">I13 * 75 * 'API Costs'!$C$16 * 30</f>
        <v>440.64</v>
      </c>
      <c r="J26" s="24" t="n">
        <f aca="false">J13 * 75 * 'API Costs'!$C$16 * 30</f>
        <v>526.32</v>
      </c>
      <c r="K26" s="24" t="n">
        <f aca="false">K13 * 75 * 'API Costs'!$C$16 * 30</f>
        <v>624.24</v>
      </c>
      <c r="L26" s="24" t="n">
        <f aca="false">L13 * 75 * 'API Costs'!$C$16 * 30</f>
        <v>734.4</v>
      </c>
      <c r="M26" s="24" t="n">
        <f aca="false">M13 * 75 * 'API Costs'!$C$16 * 30</f>
        <v>856.8</v>
      </c>
    </row>
    <row r="27" customFormat="false" ht="15" hidden="false" customHeight="true" outlineLevel="0" collapsed="false">
      <c r="A27" s="6" t="s">
        <v>81</v>
      </c>
      <c r="B27" s="24" t="n">
        <f aca="false">B14 * 250 * 'API Costs'!$C$16 * 30</f>
        <v>0</v>
      </c>
      <c r="C27" s="24" t="n">
        <f aca="false">C14 * 250 * 'API Costs'!$C$16 * 30</f>
        <v>0</v>
      </c>
      <c r="D27" s="24" t="n">
        <f aca="false">D14 * 250 * 'API Costs'!$C$16 * 30</f>
        <v>40.8</v>
      </c>
      <c r="E27" s="24" t="n">
        <f aca="false">E14 * 250 * 'API Costs'!$C$16 * 30</f>
        <v>81.6</v>
      </c>
      <c r="F27" s="24" t="n">
        <f aca="false">F14 * 250 * 'API Costs'!$C$16 * 30</f>
        <v>122.4</v>
      </c>
      <c r="G27" s="24" t="n">
        <f aca="false">G14 * 250 * 'API Costs'!$C$16 * 30</f>
        <v>204</v>
      </c>
      <c r="H27" s="24" t="n">
        <f aca="false">H14 * 250 * 'API Costs'!$C$16 * 30</f>
        <v>285.6</v>
      </c>
      <c r="I27" s="24" t="n">
        <f aca="false">I14 * 250 * 'API Costs'!$C$16 * 30</f>
        <v>367.2</v>
      </c>
      <c r="J27" s="24" t="n">
        <f aca="false">J14 * 250 * 'API Costs'!$C$16 * 30</f>
        <v>489.6</v>
      </c>
      <c r="K27" s="24" t="n">
        <f aca="false">K14 * 250 * 'API Costs'!$C$16 * 30</f>
        <v>612</v>
      </c>
      <c r="L27" s="24" t="n">
        <f aca="false">L14 * 250 * 'API Costs'!$C$16 * 30</f>
        <v>775.2</v>
      </c>
      <c r="M27" s="24" t="n">
        <f aca="false">M14 * 250 * 'API Costs'!$C$16 * 30</f>
        <v>938.4</v>
      </c>
    </row>
    <row r="28" customFormat="false" ht="15" hidden="false" customHeight="true" outlineLevel="0" collapsed="false">
      <c r="A28" s="6" t="s">
        <v>82</v>
      </c>
      <c r="B28" s="24" t="n">
        <f aca="false">B15 * 500 * 'API Costs'!$C$16 * 30</f>
        <v>0</v>
      </c>
      <c r="C28" s="24" t="n">
        <f aca="false">C15 * 500 * 'API Costs'!$C$16 * 30</f>
        <v>0</v>
      </c>
      <c r="D28" s="24" t="n">
        <f aca="false">D15 * 500 * 'API Costs'!$C$16 * 30</f>
        <v>0</v>
      </c>
      <c r="E28" s="24" t="n">
        <f aca="false">E15 * 500 * 'API Costs'!$C$16 * 30</f>
        <v>0</v>
      </c>
      <c r="F28" s="24" t="n">
        <f aca="false">F15 * 500 * 'API Costs'!$C$16 * 30</f>
        <v>0</v>
      </c>
      <c r="G28" s="24" t="n">
        <f aca="false">G15 * 500 * 'API Costs'!$C$16 * 30</f>
        <v>0</v>
      </c>
      <c r="H28" s="24" t="n">
        <f aca="false">H15 * 500 * 'API Costs'!$C$16 * 30</f>
        <v>0</v>
      </c>
      <c r="I28" s="24" t="n">
        <f aca="false">I15 * 500 * 'API Costs'!$C$16 * 30</f>
        <v>0</v>
      </c>
      <c r="J28" s="24" t="n">
        <f aca="false">J15 * 500 * 'API Costs'!$C$16 * 30</f>
        <v>0</v>
      </c>
      <c r="K28" s="24" t="n">
        <f aca="false">K15 * 500 * 'API Costs'!$C$16 * 30</f>
        <v>0</v>
      </c>
      <c r="L28" s="24" t="n">
        <f aca="false">L15 * 500 * 'API Costs'!$C$16 * 30</f>
        <v>81.6</v>
      </c>
      <c r="M28" s="24" t="n">
        <f aca="false">M15 * 500 * 'API Costs'!$C$16 * 30</f>
        <v>163.2</v>
      </c>
    </row>
    <row r="29" customFormat="false" ht="15" hidden="false" customHeight="true" outlineLevel="0" collapsed="false">
      <c r="A29" s="13" t="s">
        <v>83</v>
      </c>
      <c r="B29" s="27" t="n">
        <f aca="false">B25+B26+B27+B28</f>
        <v>25.568</v>
      </c>
      <c r="C29" s="27" t="n">
        <f aca="false">C25+C26+C27+C28</f>
        <v>75.1808</v>
      </c>
      <c r="D29" s="27" t="n">
        <f aca="false">D25+D26+D27+D28</f>
        <v>165.376</v>
      </c>
      <c r="E29" s="27" t="n">
        <f aca="false">E25+E26+E27+E28</f>
        <v>255.5712</v>
      </c>
      <c r="F29" s="27" t="n">
        <f aca="false">F25+F26+F27+F28</f>
        <v>358.0064</v>
      </c>
      <c r="G29" s="27" t="n">
        <f aca="false">G25+G26+G27+G28</f>
        <v>501.296</v>
      </c>
      <c r="H29" s="27" t="n">
        <f aca="false">H25+H26+H27+H28</f>
        <v>656.88</v>
      </c>
      <c r="I29" s="27" t="n">
        <f aca="false">I25+I26+I27+I28</f>
        <v>812.5184</v>
      </c>
      <c r="J29" s="27" t="n">
        <f aca="false">J25+J26+J27+J28</f>
        <v>1021.3056</v>
      </c>
      <c r="K29" s="27" t="n">
        <f aca="false">K25+K26+K27+K28</f>
        <v>1242.4416</v>
      </c>
      <c r="L29" s="27" t="n">
        <f aca="false">L25+L26+L27+L28</f>
        <v>1598.3264</v>
      </c>
      <c r="M29" s="27" t="n">
        <f aca="false">M25+M26+M27+M28</f>
        <v>1966.6144</v>
      </c>
    </row>
    <row r="31" customFormat="false" ht="15" hidden="false" customHeight="true" outlineLevel="0" collapsed="false">
      <c r="A31" s="5" t="s">
        <v>84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" hidden="false" customHeight="true" outlineLevel="0" collapsed="false">
      <c r="A32" s="6" t="s">
        <v>85</v>
      </c>
      <c r="B32" s="24" t="n">
        <f aca="false">B22</f>
        <v>58</v>
      </c>
      <c r="C32" s="24" t="n">
        <f aca="false">C22</f>
        <v>174</v>
      </c>
      <c r="D32" s="24" t="n">
        <f aca="false">D22</f>
        <v>369</v>
      </c>
      <c r="E32" s="24" t="n">
        <f aca="false">E22</f>
        <v>564</v>
      </c>
      <c r="F32" s="24" t="n">
        <f aca="false">F22</f>
        <v>788</v>
      </c>
      <c r="G32" s="24" t="n">
        <f aca="false">G22</f>
        <v>1091</v>
      </c>
      <c r="H32" s="24" t="n">
        <f aca="false">H22</f>
        <v>1423</v>
      </c>
      <c r="I32" s="24" t="n">
        <f aca="false">I22</f>
        <v>1755</v>
      </c>
      <c r="J32" s="24" t="n">
        <f aca="false">J22</f>
        <v>2195</v>
      </c>
      <c r="K32" s="24" t="n">
        <f aca="false">K22</f>
        <v>2664</v>
      </c>
      <c r="L32" s="24" t="n">
        <f aca="false">L22</f>
        <v>3440</v>
      </c>
      <c r="M32" s="24" t="n">
        <f aca="false">M22</f>
        <v>4245</v>
      </c>
    </row>
    <row r="33" customFormat="false" ht="15" hidden="false" customHeight="true" outlineLevel="0" collapsed="false">
      <c r="A33" s="6" t="s">
        <v>86</v>
      </c>
      <c r="B33" s="24" t="n">
        <f aca="false">B29</f>
        <v>25.568</v>
      </c>
      <c r="C33" s="24" t="n">
        <f aca="false">C29</f>
        <v>75.1808</v>
      </c>
      <c r="D33" s="24" t="n">
        <f aca="false">D29</f>
        <v>165.376</v>
      </c>
      <c r="E33" s="24" t="n">
        <f aca="false">E29</f>
        <v>255.5712</v>
      </c>
      <c r="F33" s="24" t="n">
        <f aca="false">F29</f>
        <v>358.0064</v>
      </c>
      <c r="G33" s="24" t="n">
        <f aca="false">G29</f>
        <v>501.296</v>
      </c>
      <c r="H33" s="24" t="n">
        <f aca="false">H29</f>
        <v>656.88</v>
      </c>
      <c r="I33" s="24" t="n">
        <f aca="false">I29</f>
        <v>812.5184</v>
      </c>
      <c r="J33" s="24" t="n">
        <f aca="false">J29</f>
        <v>1021.3056</v>
      </c>
      <c r="K33" s="24" t="n">
        <f aca="false">K29</f>
        <v>1242.4416</v>
      </c>
      <c r="L33" s="24" t="n">
        <f aca="false">L29</f>
        <v>1598.3264</v>
      </c>
      <c r="M33" s="24" t="n">
        <f aca="false">M29</f>
        <v>1966.6144</v>
      </c>
    </row>
    <row r="34" customFormat="false" ht="15" hidden="false" customHeight="true" outlineLevel="0" collapsed="false">
      <c r="A34" s="13" t="s">
        <v>87</v>
      </c>
      <c r="B34" s="25" t="n">
        <f aca="false">B32-B33</f>
        <v>32.432</v>
      </c>
      <c r="C34" s="25" t="n">
        <f aca="false">C32-C33</f>
        <v>98.8192</v>
      </c>
      <c r="D34" s="25" t="n">
        <f aca="false">D32-D33</f>
        <v>203.624</v>
      </c>
      <c r="E34" s="25" t="n">
        <f aca="false">E32-E33</f>
        <v>308.4288</v>
      </c>
      <c r="F34" s="25" t="n">
        <f aca="false">F32-F33</f>
        <v>429.9936</v>
      </c>
      <c r="G34" s="25" t="n">
        <f aca="false">G32-G33</f>
        <v>589.704</v>
      </c>
      <c r="H34" s="25" t="n">
        <f aca="false">H32-H33</f>
        <v>766.12</v>
      </c>
      <c r="I34" s="25" t="n">
        <f aca="false">I32-I33</f>
        <v>942.4816</v>
      </c>
      <c r="J34" s="25" t="n">
        <f aca="false">J32-J33</f>
        <v>1173.6944</v>
      </c>
      <c r="K34" s="25" t="n">
        <f aca="false">K32-K33</f>
        <v>1421.5584</v>
      </c>
      <c r="L34" s="25" t="n">
        <f aca="false">L32-L33</f>
        <v>1841.6736</v>
      </c>
      <c r="M34" s="25" t="n">
        <f aca="false">M32-M33</f>
        <v>2278.3856</v>
      </c>
    </row>
    <row r="35" customFormat="false" ht="15" hidden="false" customHeight="true" outlineLevel="0" collapsed="false">
      <c r="A35" s="13" t="s">
        <v>88</v>
      </c>
      <c r="B35" s="28" t="n">
        <f aca="false">IF(B32&gt;0,B34/B32,0)</f>
        <v>0.559172413793104</v>
      </c>
      <c r="C35" s="28" t="n">
        <f aca="false">IF(C32&gt;0,C34/C32,0)</f>
        <v>0.567926436781609</v>
      </c>
      <c r="D35" s="28" t="n">
        <f aca="false">IF(D32&gt;0,D34/D32,0)</f>
        <v>0.551826558265583</v>
      </c>
      <c r="E35" s="28" t="n">
        <f aca="false">IF(E32&gt;0,E34/E32,0)</f>
        <v>0.546859574468085</v>
      </c>
      <c r="F35" s="28" t="n">
        <f aca="false">IF(F32&gt;0,F34/F32,0)</f>
        <v>0.545677157360406</v>
      </c>
      <c r="G35" s="28" t="n">
        <f aca="false">IF(G32&gt;0,G34/G32,0)</f>
        <v>0.540516956920257</v>
      </c>
      <c r="H35" s="28" t="n">
        <f aca="false">IF(H32&gt;0,H34/H32,0)</f>
        <v>0.538383696416023</v>
      </c>
      <c r="I35" s="28" t="n">
        <f aca="false">IF(I32&gt;0,I34/I32,0)</f>
        <v>0.537026552706553</v>
      </c>
      <c r="J35" s="28" t="n">
        <f aca="false">IF(J32&gt;0,J34/J32,0)</f>
        <v>0.53471271070615</v>
      </c>
      <c r="K35" s="28" t="n">
        <f aca="false">IF(K32&gt;0,K34/K32,0)</f>
        <v>0.533618018018018</v>
      </c>
      <c r="L35" s="28" t="n">
        <f aca="false">IF(L32&gt;0,L34/L32,0)</f>
        <v>0.53537023255814</v>
      </c>
      <c r="M35" s="28" t="n">
        <f aca="false">IF(M32&gt;0,M34/M32,0)</f>
        <v>0.536722167255595</v>
      </c>
    </row>
    <row r="37" customFormat="false" ht="15" hidden="false" customHeight="true" outlineLevel="0" collapsed="false">
      <c r="A37" s="4" t="s">
        <v>89</v>
      </c>
      <c r="B37" s="24" t="n">
        <f aca="false">B34</f>
        <v>32.432</v>
      </c>
      <c r="C37" s="24" t="n">
        <f aca="false">B37+C34</f>
        <v>131.2512</v>
      </c>
      <c r="D37" s="24" t="n">
        <f aca="false">C37+D34</f>
        <v>334.8752</v>
      </c>
      <c r="E37" s="24" t="n">
        <f aca="false">D37+E34</f>
        <v>643.304</v>
      </c>
      <c r="F37" s="24" t="n">
        <f aca="false">E37+F34</f>
        <v>1073.2976</v>
      </c>
      <c r="G37" s="24" t="n">
        <f aca="false">F37+G34</f>
        <v>1663.0016</v>
      </c>
      <c r="H37" s="24" t="n">
        <f aca="false">G37+H34</f>
        <v>2429.1216</v>
      </c>
      <c r="I37" s="24" t="n">
        <f aca="false">H37+I34</f>
        <v>3371.6032</v>
      </c>
      <c r="J37" s="24" t="n">
        <f aca="false">I37+J34</f>
        <v>4545.2976</v>
      </c>
      <c r="K37" s="24" t="n">
        <f aca="false">J37+K34</f>
        <v>5966.856</v>
      </c>
      <c r="L37" s="24" t="n">
        <f aca="false">K37+L34</f>
        <v>7808.5296</v>
      </c>
      <c r="M37" s="24" t="n">
        <f aca="false">L37+M34</f>
        <v>10086.9152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90</v>
      </c>
    </row>
    <row r="3" customFormat="false" ht="26.25" hidden="false" customHeight="true" outlineLevel="0" collapsed="false">
      <c r="A3" s="5" t="s">
        <v>91</v>
      </c>
      <c r="B3" s="5" t="s">
        <v>92</v>
      </c>
      <c r="C3" s="5" t="s">
        <v>93</v>
      </c>
      <c r="D3" s="5" t="s">
        <v>94</v>
      </c>
      <c r="E3" s="5" t="s">
        <v>95</v>
      </c>
    </row>
    <row r="4" customFormat="false" ht="15" hidden="false" customHeight="true" outlineLevel="0" collapsed="false">
      <c r="A4" s="13" t="s">
        <v>96</v>
      </c>
      <c r="B4" s="29" t="s">
        <v>97</v>
      </c>
      <c r="C4" s="29" t="s">
        <v>98</v>
      </c>
      <c r="D4" s="29" t="s">
        <v>99</v>
      </c>
      <c r="E4" s="29" t="s">
        <v>100</v>
      </c>
    </row>
    <row r="5" customFormat="false" ht="15" hidden="false" customHeight="true" outlineLevel="0" collapsed="false">
      <c r="A5" s="6" t="s">
        <v>101</v>
      </c>
      <c r="B5" s="29" t="s">
        <v>102</v>
      </c>
      <c r="C5" s="29" t="s">
        <v>102</v>
      </c>
      <c r="D5" s="29" t="s">
        <v>103</v>
      </c>
      <c r="E5" s="29" t="s">
        <v>104</v>
      </c>
    </row>
    <row r="6" customFormat="false" ht="15" hidden="false" customHeight="true" outlineLevel="0" collapsed="false">
      <c r="A6" s="6" t="s">
        <v>105</v>
      </c>
      <c r="B6" s="29" t="s">
        <v>102</v>
      </c>
      <c r="C6" s="29" t="s">
        <v>106</v>
      </c>
      <c r="D6" s="29" t="s">
        <v>107</v>
      </c>
      <c r="E6" s="29" t="s">
        <v>108</v>
      </c>
    </row>
    <row r="7" customFormat="false" ht="15" hidden="false" customHeight="true" outlineLevel="0" collapsed="false">
      <c r="A7" s="6" t="s">
        <v>109</v>
      </c>
      <c r="B7" s="29" t="s">
        <v>103</v>
      </c>
      <c r="C7" s="29" t="s">
        <v>103</v>
      </c>
      <c r="D7" s="29" t="s">
        <v>110</v>
      </c>
      <c r="E7" s="29" t="s">
        <v>110</v>
      </c>
    </row>
    <row r="8" customFormat="false" ht="15" hidden="false" customHeight="true" outlineLevel="0" collapsed="false">
      <c r="A8" s="6" t="s">
        <v>111</v>
      </c>
      <c r="B8" s="29" t="s">
        <v>112</v>
      </c>
      <c r="C8" s="29" t="s">
        <v>113</v>
      </c>
      <c r="D8" s="29" t="s">
        <v>113</v>
      </c>
      <c r="E8" s="29" t="s">
        <v>113</v>
      </c>
    </row>
    <row r="9" customFormat="false" ht="15" hidden="false" customHeight="true" outlineLevel="0" collapsed="false">
      <c r="A9" s="6" t="s">
        <v>34</v>
      </c>
      <c r="B9" s="29" t="s">
        <v>103</v>
      </c>
      <c r="C9" s="29" t="s">
        <v>114</v>
      </c>
      <c r="D9" s="29" t="s">
        <v>115</v>
      </c>
      <c r="E9" s="29" t="s">
        <v>116</v>
      </c>
    </row>
    <row r="10" customFormat="false" ht="15" hidden="false" customHeight="true" outlineLevel="0" collapsed="false">
      <c r="A10" s="6" t="s">
        <v>117</v>
      </c>
      <c r="B10" s="29" t="s">
        <v>118</v>
      </c>
      <c r="C10" s="29" t="s">
        <v>118</v>
      </c>
      <c r="D10" s="29" t="s">
        <v>119</v>
      </c>
      <c r="E10" s="29" t="s">
        <v>120</v>
      </c>
    </row>
    <row r="11" customFormat="false" ht="15" hidden="false" customHeight="true" outlineLevel="0" collapsed="false">
      <c r="A11" s="6" t="s">
        <v>121</v>
      </c>
      <c r="B11" s="29" t="s">
        <v>122</v>
      </c>
      <c r="C11" s="29" t="s">
        <v>110</v>
      </c>
      <c r="D11" s="29" t="s">
        <v>123</v>
      </c>
      <c r="E11" s="29" t="s">
        <v>104</v>
      </c>
    </row>
    <row r="12" customFormat="false" ht="15" hidden="false" customHeight="true" outlineLevel="0" collapsed="false">
      <c r="A12" s="6" t="s">
        <v>124</v>
      </c>
      <c r="B12" s="29" t="s">
        <v>102</v>
      </c>
      <c r="C12" s="29" t="s">
        <v>102</v>
      </c>
      <c r="D12" s="29" t="s">
        <v>103</v>
      </c>
      <c r="E12" s="29" t="s">
        <v>104</v>
      </c>
    </row>
    <row r="13" customFormat="false" ht="15" hidden="false" customHeight="true" outlineLevel="0" collapsed="false">
      <c r="A13" s="6"/>
      <c r="B13" s="29"/>
      <c r="C13" s="29"/>
      <c r="D13" s="29"/>
      <c r="E13" s="29"/>
    </row>
    <row r="14" customFormat="false" ht="15" hidden="false" customHeight="true" outlineLevel="0" collapsed="false">
      <c r="A14" s="13" t="s">
        <v>125</v>
      </c>
      <c r="B14" s="30" t="n">
        <f aca="false">3*'API Costs'!$C$16</f>
        <v>0.01632</v>
      </c>
      <c r="C14" s="16" t="n">
        <f aca="false">75*'API Costs'!$C$16</f>
        <v>0.408</v>
      </c>
      <c r="D14" s="16" t="n">
        <f aca="false">250*'API Costs'!$C$16</f>
        <v>1.36</v>
      </c>
      <c r="E14" s="16" t="n">
        <f aca="false">500*'API Costs'!$C$16</f>
        <v>2.72</v>
      </c>
    </row>
    <row r="15" customFormat="false" ht="15" hidden="false" customHeight="true" outlineLevel="0" collapsed="false">
      <c r="A15" s="13" t="s">
        <v>126</v>
      </c>
      <c r="B15" s="30" t="n">
        <f aca="false">10*'API Costs'!$C$16</f>
        <v>0.0544</v>
      </c>
      <c r="C15" s="16" t="n">
        <f aca="false">75*'API Costs'!$C$16*30</f>
        <v>12.24</v>
      </c>
      <c r="D15" s="16" t="n">
        <f aca="false">250*'API Costs'!$C$16*30</f>
        <v>40.8</v>
      </c>
      <c r="E15" s="16" t="n">
        <f aca="false">500*'API Costs'!$C$16*30</f>
        <v>81.6</v>
      </c>
    </row>
    <row r="16" customFormat="false" ht="15" hidden="false" customHeight="true" outlineLevel="0" collapsed="false">
      <c r="A16" s="13" t="s">
        <v>43</v>
      </c>
      <c r="B16" s="31" t="n">
        <v>0</v>
      </c>
      <c r="C16" s="31" t="n">
        <v>29</v>
      </c>
      <c r="D16" s="31" t="n">
        <v>79</v>
      </c>
      <c r="E16" s="31" t="n">
        <v>199</v>
      </c>
    </row>
    <row r="17" customFormat="false" ht="15" hidden="false" customHeight="true" outlineLevel="0" collapsed="false">
      <c r="A17" s="13" t="s">
        <v>127</v>
      </c>
      <c r="B17" s="32" t="n">
        <f aca="false">B16-B15</f>
        <v>-0.0544</v>
      </c>
      <c r="C17" s="33" t="n">
        <f aca="false">C16-C15</f>
        <v>16.76</v>
      </c>
      <c r="D17" s="33" t="n">
        <f aca="false">D16-D15</f>
        <v>38.2</v>
      </c>
      <c r="E17" s="33" t="n">
        <f aca="false">E16-E15</f>
        <v>117.4</v>
      </c>
    </row>
    <row r="18" customFormat="false" ht="15" hidden="false" customHeight="true" outlineLevel="0" collapsed="false">
      <c r="A18" s="13" t="s">
        <v>44</v>
      </c>
      <c r="B18" s="34" t="s">
        <v>128</v>
      </c>
      <c r="C18" s="35" t="n">
        <f aca="false">IF(C16&gt;0,C17/C16,0)</f>
        <v>0.577931034482759</v>
      </c>
      <c r="D18" s="35" t="n">
        <f aca="false">IF(D16&gt;0,D17/D16,0)</f>
        <v>0.483544303797468</v>
      </c>
      <c r="E18" s="35" t="n">
        <f aca="false">IF(E16&gt;0,E17/E16,0)</f>
        <v>0.589949748743719</v>
      </c>
    </row>
    <row r="21" customFormat="false" ht="15" hidden="false" customHeight="true" outlineLevel="0" collapsed="false">
      <c r="A21" s="4" t="s">
        <v>129</v>
      </c>
    </row>
    <row r="22" customFormat="false" ht="15" hidden="false" customHeight="true" outlineLevel="0" collapsed="false">
      <c r="A22" s="6" t="s">
        <v>130</v>
      </c>
    </row>
    <row r="23" customFormat="false" ht="15" hidden="false" customHeight="true" outlineLevel="0" collapsed="false">
      <c r="A23" s="6" t="s">
        <v>131</v>
      </c>
    </row>
    <row r="24" customFormat="false" ht="15" hidden="false" customHeight="true" outlineLevel="0" collapsed="false">
      <c r="A24" s="6"/>
    </row>
    <row r="25" customFormat="false" ht="15" hidden="false" customHeight="true" outlineLevel="0" collapsed="false">
      <c r="A25" s="4" t="s">
        <v>132</v>
      </c>
    </row>
    <row r="26" customFormat="false" ht="15" hidden="false" customHeight="true" outlineLevel="0" collapsed="false">
      <c r="A26" s="6" t="s">
        <v>133</v>
      </c>
    </row>
    <row r="27" customFormat="false" ht="15" hidden="false" customHeight="true" outlineLevel="0" collapsed="false">
      <c r="A27" s="6" t="s">
        <v>134</v>
      </c>
    </row>
    <row r="28" customFormat="false" ht="15" hidden="false" customHeight="true" outlineLevel="0" collapsed="false">
      <c r="A28" s="6" t="s">
        <v>135</v>
      </c>
    </row>
    <row r="29" customFormat="false" ht="15" hidden="false" customHeight="true" outlineLevel="0" collapsed="false">
      <c r="A29" s="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2026-04-16T20:02:16Z</dcterms:created>
  <dc:creator>openpyxl</dc:creator>
  <dc:description/>
  <dc:language>en-US</dc:language>
  <cp:lastModifiedBy/>
  <dcterms:modified xsi:type="dcterms:W3CDTF">2026-04-16T20:10:11Z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